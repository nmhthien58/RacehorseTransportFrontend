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Tasks" sheetId="2" state="visible" r:id="rId2"/>
  </sheets>
  <definedNames>
    <definedName name="_xlnm._FilterDatabase" localSheetId="1" hidden="1">'Tasks'!$A$1:$K$18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9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SWP391 Group 5 – Frontend: đợt nghiệp vụ R-09 → R-16</t>
        </is>
      </c>
    </row>
    <row r="2">
      <c r="A2" t="inlineStr">
        <is>
          <t>Các số bên dưới tự đếm từ sheet Tasks. Chỉ cần đổi cột Trạng thái (và Ngày xong) ở sheet Tasks.</t>
        </is>
      </c>
    </row>
    <row r="4">
      <c r="A4" s="2" t="inlineStr">
        <is>
          <t>Trạng thái</t>
        </is>
      </c>
      <c r="B4" s="2" t="inlineStr">
        <is>
          <t>Số task</t>
        </is>
      </c>
    </row>
    <row r="5">
      <c r="A5" t="inlineStr">
        <is>
          <t>Chưa làm</t>
        </is>
      </c>
      <c r="B5">
        <f>COUNTIF(Tasks!$I$2:$I$500,A5)</f>
        <v/>
      </c>
    </row>
    <row r="6">
      <c r="A6" t="inlineStr">
        <is>
          <t>Đang làm</t>
        </is>
      </c>
      <c r="B6">
        <f>COUNTIF(Tasks!$I$2:$I$500,A6)</f>
        <v/>
      </c>
    </row>
    <row r="7">
      <c r="A7" t="inlineStr">
        <is>
          <t>Review</t>
        </is>
      </c>
      <c r="B7">
        <f>COUNTIF(Tasks!$I$2:$I$500,A7)</f>
        <v/>
      </c>
    </row>
    <row r="8">
      <c r="A8" t="inlineStr">
        <is>
          <t>Xong</t>
        </is>
      </c>
      <c r="B8">
        <f>COUNTIF(Tasks!$I$2:$I$500,A8)</f>
        <v/>
      </c>
    </row>
    <row r="9">
      <c r="A9" t="inlineStr">
        <is>
          <t>Tổng</t>
        </is>
      </c>
      <c r="B9">
        <f>SUM(B5:B8)</f>
        <v/>
      </c>
    </row>
    <row r="10">
      <c r="A10" t="inlineStr">
        <is>
          <t>% hoàn thành</t>
        </is>
      </c>
      <c r="B10" s="3">
        <f>IF(B9=0,0,B8/B9)</f>
        <v/>
      </c>
    </row>
    <row r="13">
      <c r="A13" s="2" t="inlineStr">
        <is>
          <t>Người làm</t>
        </is>
      </c>
      <c r="B13" s="2" t="inlineStr">
        <is>
          <t>Số task</t>
        </is>
      </c>
      <c r="C13" s="2" t="inlineStr">
        <is>
          <t>Điểm</t>
        </is>
      </c>
      <c r="D13" s="2" t="inlineStr">
        <is>
          <t>% điểm</t>
        </is>
      </c>
      <c r="E13" s="2" t="inlineStr">
        <is>
          <t>Đã xong</t>
        </is>
      </c>
      <c r="F13" s="2" t="inlineStr">
        <is>
          <t>% hoàn thành</t>
        </is>
      </c>
    </row>
    <row r="14">
      <c r="A14" t="inlineStr">
        <is>
          <t>Thiên</t>
        </is>
      </c>
      <c r="B14">
        <f>COUNTIF(Tasks!$E$2:$E$500,A14)</f>
        <v/>
      </c>
      <c r="C14">
        <f>SUMIF(Tasks!$E$2:$E$500,A14,Tasks!$G$2:$G$500)</f>
        <v/>
      </c>
      <c r="D14" s="3">
        <f>IF(SUM(Tasks!$G$2:$G$500)=0,0,C14/SUM(Tasks!$G$2:$G$500))</f>
        <v/>
      </c>
      <c r="E14">
        <f>COUNTIFS(Tasks!$E$2:$E$500,A14,Tasks!$I$2:$I$500,"Xong")</f>
        <v/>
      </c>
      <c r="F14" s="3">
        <f>IF(B14=0,0,E14/B14)</f>
        <v/>
      </c>
    </row>
    <row r="15">
      <c r="A15" t="inlineStr">
        <is>
          <t>Vũ</t>
        </is>
      </c>
      <c r="B15">
        <f>COUNTIF(Tasks!$E$2:$E$500,A15)</f>
        <v/>
      </c>
      <c r="C15">
        <f>SUMIF(Tasks!$E$2:$E$500,A15,Tasks!$G$2:$G$500)</f>
        <v/>
      </c>
      <c r="D15" s="3">
        <f>IF(SUM(Tasks!$G$2:$G$500)=0,0,C15/SUM(Tasks!$G$2:$G$500))</f>
        <v/>
      </c>
      <c r="E15">
        <f>COUNTIFS(Tasks!$E$2:$E$500,A15,Tasks!$I$2:$I$500,"Xong")</f>
        <v/>
      </c>
      <c r="F15" s="3">
        <f>IF(B15=0,0,E15/B15)</f>
        <v/>
      </c>
    </row>
    <row r="16">
      <c r="A16" t="inlineStr">
        <is>
          <t>Thắng</t>
        </is>
      </c>
      <c r="B16">
        <f>COUNTIF(Tasks!$E$2:$E$500,A16)</f>
        <v/>
      </c>
      <c r="C16">
        <f>SUMIF(Tasks!$E$2:$E$500,A16,Tasks!$G$2:$G$500)</f>
        <v/>
      </c>
      <c r="D16" s="3">
        <f>IF(SUM(Tasks!$G$2:$G$500)=0,0,C16/SUM(Tasks!$G$2:$G$500))</f>
        <v/>
      </c>
      <c r="E16">
        <f>COUNTIFS(Tasks!$E$2:$E$500,A16,Tasks!$I$2:$I$500,"Xong")</f>
        <v/>
      </c>
      <c r="F16" s="3">
        <f>IF(B16=0,0,E16/B16)</f>
        <v/>
      </c>
    </row>
    <row r="19">
      <c r="A19" s="2" t="inlineStr">
        <is>
          <t>Mục</t>
        </is>
      </c>
      <c r="B19" s="2" t="inlineStr">
        <is>
          <t>Số task</t>
        </is>
      </c>
      <c r="C19" s="2" t="inlineStr">
        <is>
          <t>Đã xong</t>
        </is>
      </c>
      <c r="D19" s="2" t="inlineStr">
        <is>
          <t>% hoàn thành</t>
        </is>
      </c>
    </row>
    <row r="20">
      <c r="A20" t="inlineStr">
        <is>
          <t>R-11 Bản đồ</t>
        </is>
      </c>
      <c r="B20">
        <f>COUNTIF(Tasks!$B$2:$B$500,A20)</f>
        <v/>
      </c>
      <c r="C20">
        <f>COUNTIFS(Tasks!$B$2:$B$500,A20,Tasks!$I$2:$I$500,"Xong")</f>
        <v/>
      </c>
      <c r="D20" s="3">
        <f>IF(B20=0,0,C20/B20)</f>
        <v/>
      </c>
    </row>
    <row r="21">
      <c r="A21" t="inlineStr">
        <is>
          <t>R-10 Luồng báo giá</t>
        </is>
      </c>
      <c r="B21">
        <f>COUNTIF(Tasks!$B$2:$B$500,A21)</f>
        <v/>
      </c>
      <c r="C21">
        <f>COUNTIFS(Tasks!$B$2:$B$500,A21,Tasks!$I$2:$I$500,"Xong")</f>
        <v/>
      </c>
      <c r="D21" s="3">
        <f>IF(B21=0,0,C21/B21)</f>
        <v/>
      </c>
    </row>
    <row r="22">
      <c r="A22" t="inlineStr">
        <is>
          <t>R-12 Ngựa</t>
        </is>
      </c>
      <c r="B22">
        <f>COUNTIF(Tasks!$B$2:$B$500,A22)</f>
        <v/>
      </c>
      <c r="C22">
        <f>COUNTIFS(Tasks!$B$2:$B$500,A22,Tasks!$I$2:$I$500,"Xong")</f>
        <v/>
      </c>
      <c r="D22" s="3">
        <f>IF(B22=0,0,C22/B22)</f>
        <v/>
      </c>
    </row>
    <row r="23">
      <c r="A23" t="inlineStr">
        <is>
          <t>R-14 Tình huống xấu</t>
        </is>
      </c>
      <c r="B23">
        <f>COUNTIF(Tasks!$B$2:$B$500,A23)</f>
        <v/>
      </c>
      <c r="C23">
        <f>COUNTIFS(Tasks!$B$2:$B$500,A23,Tasks!$I$2:$I$500,"Xong")</f>
        <v/>
      </c>
      <c r="D23" s="3">
        <f>IF(B23=0,0,C23/B23)</f>
        <v/>
      </c>
    </row>
    <row r="24">
      <c r="A24" t="inlineStr">
        <is>
          <t>R-13 Bảo hiểm</t>
        </is>
      </c>
      <c r="B24">
        <f>COUNTIF(Tasks!$B$2:$B$500,A24)</f>
        <v/>
      </c>
      <c r="C24">
        <f>COUNTIFS(Tasks!$B$2:$B$500,A24,Tasks!$I$2:$I$500,"Xong")</f>
        <v/>
      </c>
      <c r="D24" s="3">
        <f>IF(B24=0,0,C24/B24)</f>
        <v/>
      </c>
    </row>
    <row r="25">
      <c r="A25" t="inlineStr">
        <is>
          <t>R-09 Giao trễ</t>
        </is>
      </c>
      <c r="B25">
        <f>COUNTIF(Tasks!$B$2:$B$500,A25)</f>
        <v/>
      </c>
      <c r="C25">
        <f>COUNTIFS(Tasks!$B$2:$B$500,A25,Tasks!$I$2:$I$500,"Xong")</f>
        <v/>
      </c>
      <c r="D25" s="3">
        <f>IF(B25=0,0,C25/B25)</f>
        <v/>
      </c>
    </row>
    <row r="26">
      <c r="A26" t="inlineStr">
        <is>
          <t>R-16 Người nhận</t>
        </is>
      </c>
      <c r="B26">
        <f>COUNTIF(Tasks!$B$2:$B$500,A26)</f>
        <v/>
      </c>
      <c r="C26">
        <f>COUNTIFS(Tasks!$B$2:$B$500,A26,Tasks!$I$2:$I$500,"Xong")</f>
        <v/>
      </c>
      <c r="D26" s="3">
        <f>IF(B26=0,0,C26/B26)</f>
        <v/>
      </c>
    </row>
    <row r="27">
      <c r="A27" t="inlineStr">
        <is>
          <t>Chung</t>
        </is>
      </c>
      <c r="B27">
        <f>COUNTIF(Tasks!$B$2:$B$500,A27)</f>
        <v/>
      </c>
      <c r="C27">
        <f>COUNTIFS(Tasks!$B$2:$B$500,A27,Tasks!$I$2:$I$500,"Xong")</f>
        <v/>
      </c>
      <c r="D27" s="3">
        <f>IF(B27=0,0,C27/B27)</f>
        <v/>
      </c>
    </row>
    <row r="28">
      <c r="A28" t="inlineStr">
        <is>
          <t>R-17 Hợp đồng</t>
        </is>
      </c>
      <c r="B28">
        <f>COUNTIF(Tasks!$B$2:$B$500,A28)</f>
        <v/>
      </c>
      <c r="C28">
        <f>COUNTIFS(Tasks!$B$2:$B$500,A28,Tasks!$I$2:$I$500,"Xong")</f>
        <v/>
      </c>
      <c r="D28" s="3">
        <f>IF(B28=0,0,C28/B28)</f>
        <v/>
      </c>
    </row>
    <row r="31">
      <c r="A31" s="4" t="inlineStr">
        <is>
          <t>Ghi chú</t>
        </is>
      </c>
    </row>
    <row r="32">
      <c r="A32" t="inlineStr">
        <is>
          <t>• Nguồn: doc/TASKS_R09_R16.md (26/10/2026). Mô tả đầy đủ, tiêu chí hoàn thành và thứ tự làm nằm trong file .md.</t>
        </is>
      </c>
    </row>
    <row r="33">
      <c r="A33" t="inlineStr">
        <is>
          <t>• Nghiệp vụ: PLAN_NGHIEP_VU_R09.md; chính sách gửi khách: CHINH_SACH_DICH_VU.md (cùng thư mục với file .md task).</t>
        </is>
      </c>
    </row>
    <row r="34">
      <c r="A34" t="inlineStr">
        <is>
          <t>• Điểm = độ lớn tương đối: Cao 5, Trung bình 3, Thấp 2. Không phải số ngày.</t>
        </is>
      </c>
    </row>
    <row r="35">
      <c r="A35" t="inlineStr">
        <is>
          <t>• Trạng thái hợp lệ: Chưa làm, Đang làm, Review, Xong.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40" customWidth="1" min="3" max="3"/>
    <col width="95" customWidth="1" min="4" max="4"/>
    <col width="11" customWidth="1" min="5" max="5"/>
    <col width="12" customWidth="1" min="6" max="6"/>
    <col width="7" customWidth="1" min="7" max="7"/>
    <col width="26" customWidth="1" min="8" max="8"/>
    <col width="13" customWidth="1" min="9" max="9"/>
    <col width="12" customWidth="1" min="10" max="10"/>
    <col width="30" customWidth="1" min="11" max="11"/>
  </cols>
  <sheetData>
    <row r="1">
      <c r="A1" s="5" t="inlineStr">
        <is>
          <t>Mã</t>
        </is>
      </c>
      <c r="B1" s="5" t="inlineStr">
        <is>
          <t>Mục</t>
        </is>
      </c>
      <c r="C1" s="5" t="inlineStr">
        <is>
          <t>Tên task</t>
        </is>
      </c>
      <c r="D1" s="5" t="inlineStr">
        <is>
          <t>Mô tả chi tiết</t>
        </is>
      </c>
      <c r="E1" s="5" t="inlineStr">
        <is>
          <t>Người làm</t>
        </is>
      </c>
      <c r="F1" s="5" t="inlineStr">
        <is>
          <t>Mức</t>
        </is>
      </c>
      <c r="G1" s="5" t="inlineStr">
        <is>
          <t>Điểm</t>
        </is>
      </c>
      <c r="H1" s="5" t="inlineStr">
        <is>
          <t>Phụ thuộc</t>
        </is>
      </c>
      <c r="I1" s="5" t="inlineStr">
        <is>
          <t>Trạng thái</t>
        </is>
      </c>
      <c r="J1" s="5" t="inlineStr">
        <is>
          <t>Ngày xong</t>
        </is>
      </c>
      <c r="K1" s="5" t="inlineStr">
        <is>
          <t>Ghi chú</t>
        </is>
      </c>
    </row>
    <row r="2">
      <c r="A2" s="6" t="inlineStr">
        <is>
          <t>FE-01</t>
        </is>
      </c>
      <c r="B2" s="6" t="inlineStr">
        <is>
          <t>R-11 Bản đồ</t>
        </is>
      </c>
      <c r="C2" s="6" t="inlineStr">
        <is>
          <t>Component bản đồ dùng chung (MapPicker, RouteMap)</t>
        </is>
      </c>
      <c r="D2" s="6" t="inlineStr">
        <is>
          <t>Cài leaflet + react-leaflet (nền OSM). MapPicker: tìm địa chỉ có gợi ý, click / kéo ghim, reverse geocode. RouteMap: marker theo loại mốc, đường đi, km từng chặng, chế độ sửa (thêm / đổi thứ tự). geoService + endpoints. Dùng được trên điện thoại.</t>
        </is>
      </c>
      <c r="E2" s="6" t="inlineStr">
        <is>
          <t>Thiên</t>
        </is>
      </c>
      <c r="F2" s="6" t="inlineStr">
        <is>
          <t>Cao</t>
        </is>
      </c>
      <c r="G2" s="6" t="n">
        <v>5</v>
      </c>
      <c r="H2" s="6" t="inlineStr">
        <is>
          <t>BE-01</t>
        </is>
      </c>
      <c r="I2" s="6" t="inlineStr">
        <is>
          <t>Chưa làm</t>
        </is>
      </c>
      <c r="J2" s="7" t="n"/>
      <c r="K2" s="6" t="inlineStr">
        <is>
          <t>Chi tiết: doc/TASKS_R09_R16.md mục FE-01</t>
        </is>
      </c>
    </row>
    <row r="3">
      <c r="A3" s="6" t="inlineStr">
        <is>
          <t>FE-02</t>
        </is>
      </c>
      <c r="B3" s="6" t="inlineStr">
        <is>
          <t>R-10 Luồng báo giá</t>
        </is>
      </c>
      <c r="C3" s="6" t="inlineStr">
        <is>
          <t>Làm lại form tạo đơn của khách</t>
        </is>
      </c>
      <c r="D3" s="6" t="inlineStr">
        <is>
          <t>Điểm đón / trả bằng MapPicker, bỏ nước quá cảnh, hiện khoảng giá min–max (USD + VND). Giá trị khai báo từng con + chứng từ khi ≥ ngưỡng, chọn gói bảo hiểm từng con. Bước người nhận (RecipientForm). PolicyAgreement bắt buộc.</t>
        </is>
      </c>
      <c r="E3" s="6" t="inlineStr">
        <is>
          <t>Thiên</t>
        </is>
      </c>
      <c r="F3" s="6" t="inlineStr">
        <is>
          <t>Cao</t>
        </is>
      </c>
      <c r="G3" s="6" t="n">
        <v>5</v>
      </c>
      <c r="H3" s="6" t="inlineStr">
        <is>
          <t>FE-01, BE-03, BE-08, BE-09, BE-15</t>
        </is>
      </c>
      <c r="I3" s="6" t="inlineStr">
        <is>
          <t>Chưa làm</t>
        </is>
      </c>
      <c r="J3" s="7" t="n"/>
      <c r="K3" s="6" t="inlineStr">
        <is>
          <t>Chi tiết: doc/TASKS_R09_R16.md mục FE-02</t>
        </is>
      </c>
    </row>
    <row r="4">
      <c r="A4" s="6" t="inlineStr">
        <is>
          <t>FE-03</t>
        </is>
      </c>
      <c r="B4" s="6" t="inlineStr">
        <is>
          <t>R-10 Luồng báo giá</t>
        </is>
      </c>
      <c r="C4" s="6" t="inlineStr">
        <is>
          <t>Coordinator lập tuyến dự kiến trên bản đồ</t>
        </is>
      </c>
      <c r="D4" s="6" t="inlineStr">
        <is>
          <t>Danh sách đơn PreApproved. RouteMap chế độ sửa: thêm mốc nghỉ / cửa khẩu, đổi thứ tự, tính lại km / giờ / nước quá cảnh; cảnh báo thiếu cửa khẩu khóa nút trình. Xem lý do bị từ chối, sửa và trình lại, xem phiên bản cũ.</t>
        </is>
      </c>
      <c r="E4" s="6" t="inlineStr">
        <is>
          <t>Thiên</t>
        </is>
      </c>
      <c r="F4" s="6" t="inlineStr">
        <is>
          <t>Cao</t>
        </is>
      </c>
      <c r="G4" s="6" t="n">
        <v>5</v>
      </c>
      <c r="H4" s="6" t="inlineStr">
        <is>
          <t>FE-01, BE-04</t>
        </is>
      </c>
      <c r="I4" s="6" t="inlineStr">
        <is>
          <t>Chưa làm</t>
        </is>
      </c>
      <c r="J4" s="7" t="n"/>
      <c r="K4" s="6" t="inlineStr">
        <is>
          <t>Chi tiết: doc/TASKS_R09_R16.md mục FE-03</t>
        </is>
      </c>
    </row>
    <row r="5">
      <c r="A5" s="6" t="inlineStr">
        <is>
          <t>FE-04</t>
        </is>
      </c>
      <c r="B5" s="6" t="inlineStr">
        <is>
          <t>R-10 Luồng báo giá</t>
        </is>
      </c>
      <c r="C5" s="6" t="inlineStr">
        <is>
          <t>Manager duyệt sơ bộ, duyệt tuyến, chốt giá trị ngựa</t>
        </is>
      </c>
      <c r="D5" s="6" t="inlineStr">
        <is>
          <t>Duyệt đơn → "duyệt sơ bộ". Màn duyệt tuyến: bản đồ, bảng chặng, nước quá cảnh, bảng ngựa (giá trị khai báo, chứng từ, ô giá trị thỏa thuận), xem trước báo giá chốt, Duyệt &amp; gửi báo giá / Từ chối kèm lý do.</t>
        </is>
      </c>
      <c r="E5" s="6" t="inlineStr">
        <is>
          <t>Vũ</t>
        </is>
      </c>
      <c r="F5" s="6" t="inlineStr">
        <is>
          <t>Trung bình</t>
        </is>
      </c>
      <c r="G5" s="6" t="n">
        <v>3</v>
      </c>
      <c r="H5" s="6" t="inlineStr">
        <is>
          <t>FE-03, BE-04, BE-09</t>
        </is>
      </c>
      <c r="I5" s="6" t="inlineStr">
        <is>
          <t>Chưa làm</t>
        </is>
      </c>
      <c r="J5" s="7" t="n"/>
      <c r="K5" s="6" t="inlineStr">
        <is>
          <t>Chi tiết: doc/TASKS_R09_R16.md mục FE-04</t>
        </is>
      </c>
    </row>
    <row r="6">
      <c r="A6" s="6" t="inlineStr">
        <is>
          <t>FE-05</t>
        </is>
      </c>
      <c r="B6" s="6" t="inlineStr">
        <is>
          <t>R-10 Luồng báo giá</t>
        </is>
      </c>
      <c r="C6" s="6" t="inlineStr">
        <is>
          <t>Khách xem báo giá chốt, chấp nhận + cọc</t>
        </is>
      </c>
      <c r="D6" s="6" t="inlineStr">
        <is>
          <t>Bảng báo giá chi tiết, bản đồ tuyến, đếm ngược hạn. PolicyAgreement + Chấp nhận &amp; đặt cọc (accept-quote → VNPay) / Từ chối. QuoteExpired: gửi lại yêu cầu. Nhãn trạng thái mới ở mọi nơi.</t>
        </is>
      </c>
      <c r="E6" s="6" t="inlineStr">
        <is>
          <t>Thiên</t>
        </is>
      </c>
      <c r="F6" s="6" t="inlineStr">
        <is>
          <t>Trung bình</t>
        </is>
      </c>
      <c r="G6" s="6" t="n">
        <v>3</v>
      </c>
      <c r="H6" s="6" t="inlineStr">
        <is>
          <t>BE-05</t>
        </is>
      </c>
      <c r="I6" s="6" t="inlineStr">
        <is>
          <t>Chưa làm</t>
        </is>
      </c>
      <c r="J6" s="7" t="n"/>
      <c r="K6" s="6" t="inlineStr">
        <is>
          <t>Chi tiết: doc/TASKS_R09_R16.md mục FE-05</t>
        </is>
      </c>
    </row>
    <row r="7">
      <c r="A7" s="6" t="inlineStr">
        <is>
          <t>FE-06</t>
        </is>
      </c>
      <c r="B7" s="6" t="inlineStr">
        <is>
          <t>R-10 Luồng báo giá</t>
        </is>
      </c>
      <c r="C7" s="6" t="inlineStr">
        <is>
          <t>Khách: giấy cần nộp theo tuyến, hạn nộp, đổi tuyến do công ty</t>
        </is>
      </c>
      <c r="D7" s="6" t="inlineStr">
        <is>
          <t>Giấy theo từng nước của tuyến, hạn nộp đếm ngược, số lần đã nhắc. Tuyến đổi do công ty: thẻ giấy mới + hạn mới + Hủy đơn (hoàn 100%). Đơn hủy vì quá hạn: lý do + tiền hoàn.</t>
        </is>
      </c>
      <c r="E7" s="6" t="inlineStr">
        <is>
          <t>Vũ</t>
        </is>
      </c>
      <c r="F7" s="6" t="inlineStr">
        <is>
          <t>Trung bình</t>
        </is>
      </c>
      <c r="G7" s="6" t="n">
        <v>3</v>
      </c>
      <c r="H7" s="6" t="inlineStr">
        <is>
          <t>BE-06</t>
        </is>
      </c>
      <c r="I7" s="6" t="inlineStr">
        <is>
          <t>Chưa làm</t>
        </is>
      </c>
      <c r="J7" s="7" t="n"/>
      <c r="K7" s="6" t="inlineStr">
        <is>
          <t>Chi tiết: doc/TASKS_R09_R16.md mục FE-06</t>
        </is>
      </c>
    </row>
    <row r="8">
      <c r="A8" s="6" t="inlineStr">
        <is>
          <t>FE-07</t>
        </is>
      </c>
      <c r="B8" s="6" t="inlineStr">
        <is>
          <t>R-10 Luồng báo giá</t>
        </is>
      </c>
      <c r="C8" s="6" t="inlineStr">
        <is>
          <t>Coordinator xếp chuyến từ tuyến đã duyệt + cảnh báo tài xế</t>
        </is>
      </c>
      <c r="D8" s="6" t="inlineStr">
        <is>
          <t>Hiện tuyến đã duyệt của đơn (RouteMap) + "Dùng tuyến này". Cảnh báo cần ≥ 2 tài xế khi lái &gt; 9 giờ; hiện rõ lỗi đi qua nước ngoài tuyến.</t>
        </is>
      </c>
      <c r="E8" s="6" t="inlineStr">
        <is>
          <t>Thắng</t>
        </is>
      </c>
      <c r="F8" s="6" t="inlineStr">
        <is>
          <t>Trung bình</t>
        </is>
      </c>
      <c r="G8" s="6" t="n">
        <v>3</v>
      </c>
      <c r="H8" s="6" t="inlineStr">
        <is>
          <t>BE-07, FE-01</t>
        </is>
      </c>
      <c r="I8" s="6" t="inlineStr">
        <is>
          <t>Chưa làm</t>
        </is>
      </c>
      <c r="J8" s="7" t="n"/>
      <c r="K8" s="6" t="inlineStr">
        <is>
          <t>Chi tiết: doc/TASKS_R09_R16.md mục FE-07</t>
        </is>
      </c>
    </row>
    <row r="9">
      <c r="A9" s="6" t="inlineStr">
        <is>
          <t>FE-08</t>
        </is>
      </c>
      <c r="B9" s="6" t="inlineStr">
        <is>
          <t>R-12 Ngựa</t>
        </is>
      </c>
      <c r="C9" s="6" t="inlineStr">
        <is>
          <t>Form ngựa: mang thai, hiện lỗi điều kiện</t>
        </is>
      </c>
      <c r="D9" s="6" t="inlineStr">
        <is>
          <t>Giới tính, đang mang thai + ngày dự sinh (ngựa cái), ngày đẻ gần nhất. Lỗi điều kiện từ backend hiện cạnh đúng con ngựa trong form tạo đơn; gợi ý tuổi tối thiểu từ usePolicy().</t>
        </is>
      </c>
      <c r="E9" s="6" t="inlineStr">
        <is>
          <t>Thắng</t>
        </is>
      </c>
      <c r="F9" s="6" t="inlineStr">
        <is>
          <t>Thấp</t>
        </is>
      </c>
      <c r="G9" s="6" t="n">
        <v>2</v>
      </c>
      <c r="H9" s="6" t="inlineStr">
        <is>
          <t>BE-08</t>
        </is>
      </c>
      <c r="I9" s="6" t="inlineStr">
        <is>
          <t>Chưa làm</t>
        </is>
      </c>
      <c r="J9" s="7" t="n"/>
      <c r="K9" s="6" t="inlineStr">
        <is>
          <t>Chi tiết: doc/TASKS_R09_R16.md mục FE-08</t>
        </is>
      </c>
    </row>
    <row r="10">
      <c r="A10" s="6" t="inlineStr">
        <is>
          <t>FE-09</t>
        </is>
      </c>
      <c r="B10" s="6" t="inlineStr">
        <is>
          <t>R-12 Ngựa</t>
        </is>
      </c>
      <c r="C10" s="6" t="inlineStr">
        <is>
          <t>Tài xế: bỏ "Rời chuyến", kiểm tra trước khi xuất phát</t>
        </is>
      </c>
      <c r="D10" s="6" t="inlineStr">
        <is>
          <t>Bỏ nút / modal Rời chuyến; thay bằng "Ngựa không thể đi tiếp" mở form sự cố chọn sẵn loại + ngựa + emergencyOffload. Checklist gọi departure-check, liệt kê vấn đề, nút Xuất phát chỉ bật khi hết vấn đề. Hiện trạng thái Deceased.</t>
        </is>
      </c>
      <c r="E10" s="6" t="inlineStr">
        <is>
          <t>Thắng</t>
        </is>
      </c>
      <c r="F10" s="6" t="inlineStr">
        <is>
          <t>Trung bình</t>
        </is>
      </c>
      <c r="G10" s="6" t="n">
        <v>3</v>
      </c>
      <c r="H10" s="6" t="inlineStr">
        <is>
          <t>BE-10, BE-11</t>
        </is>
      </c>
      <c r="I10" s="6" t="inlineStr">
        <is>
          <t>Chưa làm</t>
        </is>
      </c>
      <c r="J10" s="7" t="n"/>
      <c r="K10" s="6" t="inlineStr">
        <is>
          <t>Chi tiết: doc/TASKS_R09_R16.md mục FE-09</t>
        </is>
      </c>
    </row>
    <row r="11">
      <c r="A11" s="6" t="inlineStr">
        <is>
          <t>FE-10</t>
        </is>
      </c>
      <c r="B11" s="6" t="inlineStr">
        <is>
          <t>R-14 Tình huống xấu</t>
        </is>
      </c>
      <c r="C11" s="6" t="inlineStr">
        <is>
          <t>Sự cố mở rộng (rời chuyến, đổi xe / người, cửa khẩu, quay đầu, nguyên nhân)</t>
        </is>
      </c>
      <c r="D11" s="6" t="inlineStr">
        <is>
          <t>OffloadHorse kèm hướng xử lý (+ biên bản khi chết). ReplaceVehicle chọn xe phù hợp, ReplaceCrew chọn người. Loại sự cố / hành động mới. Đi vòng có phí: khách Đồng ý / Không. Đóng sự cố bắt buộc chọn nguyên nhân, xem trước tiền hoàn / phát sinh.</t>
        </is>
      </c>
      <c r="E11" s="6" t="inlineStr">
        <is>
          <t>Thiên</t>
        </is>
      </c>
      <c r="F11" s="6" t="inlineStr">
        <is>
          <t>Cao</t>
        </is>
      </c>
      <c r="G11" s="6" t="n">
        <v>5</v>
      </c>
      <c r="H11" s="6" t="inlineStr">
        <is>
          <t>BE-11, BE-13, BE-14a, BE-14b</t>
        </is>
      </c>
      <c r="I11" s="6" t="inlineStr">
        <is>
          <t>Chưa làm</t>
        </is>
      </c>
      <c r="J11" s="7" t="n"/>
      <c r="K11" s="6" t="inlineStr">
        <is>
          <t>Chi tiết: doc/TASKS_R09_R16.md mục FE-10</t>
        </is>
      </c>
    </row>
    <row r="12">
      <c r="A12" s="6" t="inlineStr">
        <is>
          <t>FE-11</t>
        </is>
      </c>
      <c r="B12" s="6" t="inlineStr">
        <is>
          <t>R-13 Bảo hiểm</t>
        </is>
      </c>
      <c r="C12" s="6" t="inlineStr">
        <is>
          <t>Hồ sơ bồi thường bảo hiểm (khách + manager)</t>
        </is>
      </c>
      <c r="D12" s="6" t="inlineStr">
        <is>
          <t>Khách: danh sách hồ sơ, Yêu cầu bồi thường trong 24h (đếm ngược), tải chứng từ, xem quyết định. Manager: danh sách lọc trạng thái, chi tiết + trần chi trả theo gói, Duyệt (≤ trần) / Từ chối (lý do loại trừ) / Đánh dấu đã trả.</t>
        </is>
      </c>
      <c r="E12" s="6" t="inlineStr">
        <is>
          <t>Vũ</t>
        </is>
      </c>
      <c r="F12" s="6" t="inlineStr">
        <is>
          <t>Trung bình</t>
        </is>
      </c>
      <c r="G12" s="6" t="n">
        <v>3</v>
      </c>
      <c r="H12" s="6" t="inlineStr">
        <is>
          <t>BE-12</t>
        </is>
      </c>
      <c r="I12" s="6" t="inlineStr">
        <is>
          <t>Chưa làm</t>
        </is>
      </c>
      <c r="J12" s="7" t="n"/>
      <c r="K12" s="6" t="inlineStr">
        <is>
          <t>Chi tiết: doc/TASKS_R09_R16.md mục FE-11</t>
        </is>
      </c>
    </row>
    <row r="13">
      <c r="A13" s="6" t="inlineStr">
        <is>
          <t>FE-12</t>
        </is>
      </c>
      <c r="B13" s="6" t="inlineStr">
        <is>
          <t>R-09 Giao trễ</t>
        </is>
      </c>
      <c r="C13" s="6" t="inlineStr">
        <is>
          <t>Bồi thường giao trễ: manager duyệt, khách xem</t>
        </is>
      </c>
      <c r="D13" s="6" t="inlineStr">
        <is>
          <t>Màn đóng chuyến: đơn trễ do lỗi công ty, giờ trễ, tiền bù; Duyệt hoặc sửa số tiền (bắt buộc lý do). Khách thấy dòng Bồi thường giao trễ + trạng thái hoàn.</t>
        </is>
      </c>
      <c r="E13" s="6" t="inlineStr">
        <is>
          <t>Vũ</t>
        </is>
      </c>
      <c r="F13" s="6" t="inlineStr">
        <is>
          <t>Thấp</t>
        </is>
      </c>
      <c r="G13" s="6" t="n">
        <v>2</v>
      </c>
      <c r="H13" s="6" t="inlineStr">
        <is>
          <t>BE-13</t>
        </is>
      </c>
      <c r="I13" s="6" t="inlineStr">
        <is>
          <t>Chưa làm</t>
        </is>
      </c>
      <c r="J13" s="7" t="n"/>
      <c r="K13" s="6" t="inlineStr">
        <is>
          <t>Chi tiết: doc/TASKS_R09_R16.md mục FE-12</t>
        </is>
      </c>
    </row>
    <row r="14">
      <c r="A14" s="6" t="inlineStr">
        <is>
          <t>FE-13</t>
        </is>
      </c>
      <c r="B14" s="6" t="inlineStr">
        <is>
          <t>R-16 Người nhận</t>
        </is>
      </c>
      <c r="C14" s="6" t="inlineStr">
        <is>
          <t>Người nhận: form, xác nhận có mặt, gọi điện, e-POD điền sẵn</t>
        </is>
      </c>
      <c r="D14" s="6" t="inlineStr">
        <is>
          <t>RecipientForm (dùng ở FE-02). Chi tiết đơn: sửa người nhận, thẻ Xác nhận có mặt / Đổi người nhận, đồng ý người nhận thay. App tài xế: tên, SĐT + nút Gọi (tel:). e-POD điền sẵn, người ký khác tên thì khóa ký tới khi khách xác nhận.</t>
        </is>
      </c>
      <c r="E14" s="6" t="inlineStr">
        <is>
          <t>Vũ</t>
        </is>
      </c>
      <c r="F14" s="6" t="inlineStr">
        <is>
          <t>Trung bình</t>
        </is>
      </c>
      <c r="G14" s="6" t="n">
        <v>3</v>
      </c>
      <c r="H14" s="6" t="inlineStr">
        <is>
          <t>BE-15</t>
        </is>
      </c>
      <c r="I14" s="6" t="inlineStr">
        <is>
          <t>Chưa làm</t>
        </is>
      </c>
      <c r="J14" s="7" t="n"/>
      <c r="K14" s="6" t="inlineStr">
        <is>
          <t>Chi tiết: doc/TASKS_R09_R16.md mục FE-13</t>
        </is>
      </c>
    </row>
    <row r="15">
      <c r="A15" s="6" t="inlineStr">
        <is>
          <t>FE-14</t>
        </is>
      </c>
      <c r="B15" s="6" t="inlineStr">
        <is>
          <t>R-16 Người nhận</t>
        </is>
      </c>
      <c r="C15" s="6" t="inlineStr">
        <is>
          <t>Không giao được, phí chờ</t>
        </is>
      </c>
      <c r="D15" s="6" t="inlineStr">
        <is>
          <t>e-POD: Không giao được (lý do, ghi chú, ảnh), hiện giờ đã chờ. Khách: thẻ chọn cách xử lý trong 24h (người nhận / địa chỉ khác, chuồng tạm, chở về), ghi rõ ai trả phí. Phí chờ trong khoản phát sinh. Từ chối vì thương / nhầm: link hồ sơ bồi thường.</t>
        </is>
      </c>
      <c r="E15" s="6" t="inlineStr">
        <is>
          <t>Thiên</t>
        </is>
      </c>
      <c r="F15" s="6" t="inlineStr">
        <is>
          <t>Cao</t>
        </is>
      </c>
      <c r="G15" s="6" t="n">
        <v>5</v>
      </c>
      <c r="H15" s="6" t="inlineStr">
        <is>
          <t>BE-16, FE-13</t>
        </is>
      </c>
      <c r="I15" s="6" t="inlineStr">
        <is>
          <t>Chưa làm</t>
        </is>
      </c>
      <c r="J15" s="7" t="n"/>
      <c r="K15" s="6" t="inlineStr">
        <is>
          <t>Chi tiết: doc/TASKS_R09_R16.md mục FE-14</t>
        </is>
      </c>
    </row>
    <row r="16">
      <c r="A16" s="6" t="inlineStr">
        <is>
          <t>FE-15</t>
        </is>
      </c>
      <c r="B16" s="6" t="inlineStr">
        <is>
          <t>Chung</t>
        </is>
      </c>
      <c r="C16" s="6" t="inlineStr">
        <is>
          <t>Trang Chính sách + usePolicy() + ô đồng ý</t>
        </is>
      </c>
      <c r="D16" s="6" t="inlineStr">
        <is>
          <t>policyService + hook usePolicy(). Trang công khai /chinh-sach dựng từ CHINH_SACH_DICH_VU.md, thay giá trị [...] bằng số từ API, mục lục, số phiên bản. Component PolicyAgreement (checkbox + link) cho FE-02, FE-05.</t>
        </is>
      </c>
      <c r="E16" s="6" t="inlineStr">
        <is>
          <t>Thắng</t>
        </is>
      </c>
      <c r="F16" s="6" t="inlineStr">
        <is>
          <t>Trung bình</t>
        </is>
      </c>
      <c r="G16" s="6" t="n">
        <v>3</v>
      </c>
      <c r="H16" s="6" t="inlineStr">
        <is>
          <t>BE-17</t>
        </is>
      </c>
      <c r="I16" s="6" t="inlineStr">
        <is>
          <t>Chưa làm</t>
        </is>
      </c>
      <c r="J16" s="7" t="n"/>
      <c r="K16" s="6" t="inlineStr">
        <is>
          <t>Chi tiết: doc/TASKS_R09_R16.md mục FE-15</t>
        </is>
      </c>
    </row>
    <row r="17">
      <c r="A17" s="6" t="inlineStr">
        <is>
          <t>FE-16</t>
        </is>
      </c>
      <c r="B17" s="6" t="inlineStr">
        <is>
          <t>Chung</t>
        </is>
      </c>
      <c r="C17" s="6" t="inlineStr">
        <is>
          <t>Màn cấu hình các khóa mới</t>
        </is>
      </c>
      <c r="D17" s="6" t="inlineStr">
        <is>
          <t>Mở rộng màn cấu hình thanh toán thành các nhóm Báo giá, Giao trễ, Bảo hiểm, Ngựa, Giao nhận, Phiên bản chính sách; chú thích từng ô; kiểm tra số hợp lệ.</t>
        </is>
      </c>
      <c r="E17" s="6" t="inlineStr">
        <is>
          <t>Thắng</t>
        </is>
      </c>
      <c r="F17" s="6" t="inlineStr">
        <is>
          <t>Thấp</t>
        </is>
      </c>
      <c r="G17" s="6" t="n">
        <v>2</v>
      </c>
      <c r="H17" s="6" t="inlineStr">
        <is>
          <t>BE-17</t>
        </is>
      </c>
      <c r="I17" s="6" t="inlineStr">
        <is>
          <t>Chưa làm</t>
        </is>
      </c>
      <c r="J17" s="7" t="n"/>
      <c r="K17" s="6" t="inlineStr">
        <is>
          <t>Chi tiết: doc/TASKS_R09_R16.md mục FE-16</t>
        </is>
      </c>
    </row>
    <row r="18">
      <c r="A18" s="6" t="inlineStr">
        <is>
          <t>FE-17</t>
        </is>
      </c>
      <c r="B18" s="6" t="inlineStr">
        <is>
          <t>R-17 Hợp đồng</t>
        </is>
      </c>
      <c r="C18" s="6" t="inlineStr">
        <is>
          <t>Hợp đồng vận chuyển: xem trước, chấp nhận, tải PDF, chấp nhận bản mới</t>
        </is>
      </c>
      <c r="D18" s="6" t="inlineStr">
        <is>
          <t>Nút Xem hợp đồng (PDF); Chấp nhận &amp; đặt cọc chỉ bật khi đã mở hợp đồng và tích đã đọc, gửi contractId + mã băm. Khối Hợp đồng trên trang đơn (phiên bản, tải PDF, lịch sử). Thẻ Hợp đồng cần xác nhận lại khi có bản mới. Nhân sự xem / tải. Ô Air Waybill cho chuyến hàng không.</t>
        </is>
      </c>
      <c r="E18" s="6" t="inlineStr">
        <is>
          <t>Thiên</t>
        </is>
      </c>
      <c r="F18" s="6" t="inlineStr">
        <is>
          <t>Trung bình</t>
        </is>
      </c>
      <c r="G18" s="6" t="n">
        <v>3</v>
      </c>
      <c r="H18" s="6" t="inlineStr">
        <is>
          <t>FE-05, BE-20</t>
        </is>
      </c>
      <c r="I18" s="6" t="inlineStr">
        <is>
          <t>Chưa làm</t>
        </is>
      </c>
      <c r="J18" s="7" t="n"/>
      <c r="K18" s="6" t="inlineStr">
        <is>
          <t>Chi tiết: doc/TASKS_R09_R16.md mục FE-17</t>
        </is>
      </c>
    </row>
  </sheetData>
  <autoFilter ref="A1:K18"/>
  <conditionalFormatting sqref="I2:I68">
    <cfRule type="cellIs" priority="1" operator="equal" dxfId="0">
      <formula>"Xong"</formula>
    </cfRule>
    <cfRule type="cellIs" priority="2" operator="equal" dxfId="1">
      <formula>"Đang làm"</formula>
    </cfRule>
    <cfRule type="cellIs" priority="3" operator="equal" dxfId="2">
      <formula>"Review"</formula>
    </cfRule>
  </conditionalFormatting>
  <dataValidations count="2">
    <dataValidation sqref="I2:I68" showDropDown="0" showInputMessage="0" showErrorMessage="0" allowBlank="0" type="list">
      <formula1>"Chưa làm,Đang làm,Review,Xong"</formula1>
    </dataValidation>
    <dataValidation sqref="E2:E68" showDropDown="0" showInputMessage="0" showErrorMessage="0" allowBlank="0" type="list">
      <formula1>"Thiên,Vũ,Thắng"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2026-10-26T09:24:06Z</dcterms:created>
  <dcterms:modified xmlns:dcterms="http://purl.org/dc/terms/" xmlns:xsi="http://www.w3.org/2001/XMLSchema-instance" xsi:type="dcterms:W3CDTF">2026-10-26T09:24:06Z</dcterms:modified>
</cp:coreProperties>
</file>